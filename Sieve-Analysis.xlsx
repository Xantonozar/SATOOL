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Desktop\"/>
    </mc:Choice>
  </mc:AlternateContent>
  <xr:revisionPtr revIDLastSave="0" documentId="13_ncr:1000001_{E41555F7-C84B-964D-80E6-5AFB5CF8FC34}" xr6:coauthVersionLast="47" xr6:coauthVersionMax="47" xr10:uidLastSave="{00000000-0000-0000-0000-000000000000}"/>
  <bookViews>
    <workbookView xWindow="-110" yWindow="-110" windowWidth="19420" windowHeight="11500" xr2:uid="{EFD6B32A-04D7-4A77-AE26-0734F42E02F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1" l="1"/>
  <c r="D5" i="1"/>
  <c r="D3" i="1"/>
  <c r="D4" i="1"/>
  <c r="D6" i="1"/>
  <c r="D7" i="1"/>
  <c r="D8" i="1"/>
  <c r="D10" i="1"/>
  <c r="D11" i="1"/>
  <c r="D12" i="1"/>
  <c r="D14" i="1"/>
  <c r="D2" i="1"/>
  <c r="E2" i="1"/>
  <c r="F2" i="1"/>
  <c r="D13" i="1"/>
  <c r="D9" i="1"/>
  <c r="E12" i="1"/>
  <c r="F12" i="1"/>
  <c r="E7" i="1"/>
  <c r="F7" i="1"/>
  <c r="E3" i="1"/>
  <c r="F3" i="1"/>
  <c r="E4" i="1"/>
  <c r="F4" i="1"/>
  <c r="E9" i="1"/>
  <c r="F9" i="1"/>
  <c r="E5" i="1"/>
  <c r="F5" i="1"/>
  <c r="E8" i="1"/>
  <c r="F8" i="1"/>
  <c r="E11" i="1"/>
  <c r="F11" i="1"/>
  <c r="E10" i="1"/>
  <c r="F10" i="1"/>
  <c r="E6" i="1"/>
  <c r="F6" i="1"/>
  <c r="E13" i="1"/>
  <c r="F13" i="1"/>
  <c r="E14" i="1"/>
  <c r="F14" i="1"/>
</calcChain>
</file>

<file path=xl/sharedStrings.xml><?xml version="1.0" encoding="utf-8"?>
<sst xmlns="http://schemas.openxmlformats.org/spreadsheetml/2006/main" count="20" uniqueCount="20">
  <si>
    <t>Sieve Size</t>
  </si>
  <si>
    <t>Mass Retained (gm)</t>
  </si>
  <si>
    <t>% Retained</t>
  </si>
  <si>
    <t>Cumulative % retained</t>
  </si>
  <si>
    <t>% finer</t>
  </si>
  <si>
    <t>1.5 in</t>
  </si>
  <si>
    <t>Sieve Opening (mm)</t>
  </si>
  <si>
    <t>6 in</t>
  </si>
  <si>
    <t>3 in</t>
  </si>
  <si>
    <t>3/4 in</t>
  </si>
  <si>
    <t xml:space="preserve">3/8 in </t>
  </si>
  <si>
    <t>#4</t>
  </si>
  <si>
    <t>#8</t>
  </si>
  <si>
    <t>#16</t>
  </si>
  <si>
    <t>#30</t>
  </si>
  <si>
    <t>#50</t>
  </si>
  <si>
    <t>#100</t>
  </si>
  <si>
    <t>#200</t>
  </si>
  <si>
    <t>Pan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</si>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</sst>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597112860892385E-2"/>
          <c:y val="0.1902314814814815"/>
          <c:w val="0.89140288713910765"/>
          <c:h val="0.6149843248760571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Sheet1!$B$2:$B$14</c:f>
              <c:numCache>
                <c:formatCode>General</c:formatCode>
                <c:ptCount val="13"/>
                <c:pt idx="0">
                  <c:v>150</c:v>
                </c:pt>
                <c:pt idx="1">
                  <c:v>75</c:v>
                </c:pt>
                <c:pt idx="2">
                  <c:v>37.5</c:v>
                </c:pt>
                <c:pt idx="3">
                  <c:v>19</c:v>
                </c:pt>
                <c:pt idx="4">
                  <c:v>9.5</c:v>
                </c:pt>
                <c:pt idx="5">
                  <c:v>4.75</c:v>
                </c:pt>
                <c:pt idx="6">
                  <c:v>2.38</c:v>
                </c:pt>
                <c:pt idx="7">
                  <c:v>1.19</c:v>
                </c:pt>
                <c:pt idx="8">
                  <c:v>0.6</c:v>
                </c:pt>
                <c:pt idx="9">
                  <c:v>0.3</c:v>
                </c:pt>
                <c:pt idx="10">
                  <c:v>0.15</c:v>
                </c:pt>
                <c:pt idx="11">
                  <c:v>7.4999999999999997E-2</c:v>
                </c:pt>
              </c:numCache>
            </c:numRef>
          </c:xVal>
          <c:yVal>
            <c:numRef>
              <c:f>Sheet1!$F$2:$F$14</c:f>
              <c:numCache>
                <c:formatCode>0.00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96.774193548387103</c:v>
                </c:pt>
                <c:pt idx="4">
                  <c:v>91.290322580645153</c:v>
                </c:pt>
                <c:pt idx="5">
                  <c:v>89.354838709677423</c:v>
                </c:pt>
                <c:pt idx="6">
                  <c:v>82.58064516129032</c:v>
                </c:pt>
                <c:pt idx="7">
                  <c:v>69.677419354838705</c:v>
                </c:pt>
                <c:pt idx="8">
                  <c:v>50.645161290322577</c:v>
                </c:pt>
                <c:pt idx="9">
                  <c:v>24.838709677419359</c:v>
                </c:pt>
                <c:pt idx="10">
                  <c:v>7.7419354838709751</c:v>
                </c:pt>
                <c:pt idx="11">
                  <c:v>0.96774193548387188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BDD-4C13-BD14-8498BDC3F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512287"/>
        <c:axId val="1803768703"/>
      </c:scatterChart>
      <c:valAx>
        <c:axId val="180451228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768703"/>
        <c:crosses val="autoZero"/>
        <c:crossBetween val="midCat"/>
      </c:valAx>
      <c:valAx>
        <c:axId val="180376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1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0</xdr:row>
      <xdr:rowOff>174624</xdr:rowOff>
    </xdr:from>
    <xdr:to>
      <xdr:col>18</xdr:col>
      <xdr:colOff>279400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A917BE-518B-49F3-B235-33729C421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3ACE-6B7C-4763-A952-7EDBFF12EEC7}">
  <dimension ref="A1:F16"/>
  <sheetViews>
    <sheetView tabSelected="1" workbookViewId="0">
      <selection activeCell="I31" sqref="I31"/>
    </sheetView>
  </sheetViews>
  <sheetFormatPr defaultRowHeight="15" x14ac:dyDescent="0.2"/>
  <cols>
    <col min="1" max="3" width="8.7421875" customWidth="1"/>
    <col min="4" max="6" width="8.7421875" style="1" customWidth="1"/>
  </cols>
  <sheetData>
    <row r="1" spans="1:6" x14ac:dyDescent="0.2">
      <c r="A1" t="s">
        <v>0</v>
      </c>
      <c r="B1" t="s">
        <v>6</v>
      </c>
      <c r="C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7</v>
      </c>
      <c r="B2">
        <v>150</v>
      </c>
      <c r="C2">
        <v>0</v>
      </c>
      <c r="D2" s="1">
        <f>IF($C$16=0,"",C2/$C$16*100)</f>
        <v>0</v>
      </c>
      <c r="E2" s="1">
        <f>IF(D2="","",SUM($D$2:D2))</f>
        <v>0</v>
      </c>
      <c r="F2" s="1">
        <f>IF(E2="","",100-E2)</f>
        <v>100</v>
      </c>
    </row>
    <row r="3" spans="1:6" x14ac:dyDescent="0.2">
      <c r="A3" t="s">
        <v>8</v>
      </c>
      <c r="B3">
        <v>75</v>
      </c>
      <c r="C3">
        <v>0</v>
      </c>
      <c r="D3" s="1">
        <f t="shared" ref="D3:D14" si="0">IF($C$16=0,"",C3/$C$16*100)</f>
        <v>0</v>
      </c>
      <c r="E3" s="1">
        <f>IF(D3="","",SUM($D$2:D3))</f>
        <v>0</v>
      </c>
      <c r="F3" s="1">
        <f t="shared" ref="F3:F14" si="1">IF(E3="","",100-E3)</f>
        <v>100</v>
      </c>
    </row>
    <row r="4" spans="1:6" x14ac:dyDescent="0.2">
      <c r="A4" t="s">
        <v>5</v>
      </c>
      <c r="B4">
        <v>37.5</v>
      </c>
      <c r="C4">
        <v>0</v>
      </c>
      <c r="D4" s="1">
        <f t="shared" si="0"/>
        <v>0</v>
      </c>
      <c r="E4" s="1">
        <f>IF(D4="","",SUM($D$2:D4))</f>
        <v>0</v>
      </c>
      <c r="F4" s="1">
        <f t="shared" si="1"/>
        <v>100</v>
      </c>
    </row>
    <row r="5" spans="1:6" x14ac:dyDescent="0.2">
      <c r="A5" t="s">
        <v>9</v>
      </c>
      <c r="B5">
        <v>19</v>
      </c>
      <c r="C5">
        <v>10</v>
      </c>
      <c r="D5" s="1">
        <f t="shared" si="0"/>
        <v>3.225806451612903</v>
      </c>
      <c r="E5" s="1">
        <f>IF(D5="","",SUM($D$2:D5))</f>
        <v>3.225806451612903</v>
      </c>
      <c r="F5" s="1">
        <f t="shared" si="1"/>
        <v>96.774193548387103</v>
      </c>
    </row>
    <row r="6" spans="1:6" x14ac:dyDescent="0.2">
      <c r="A6" t="s">
        <v>10</v>
      </c>
      <c r="B6">
        <v>9.5</v>
      </c>
      <c r="C6">
        <v>17</v>
      </c>
      <c r="D6" s="1">
        <f t="shared" si="0"/>
        <v>5.4838709677419359</v>
      </c>
      <c r="E6" s="1">
        <f>IF(D6="","",SUM($D$2:D6))</f>
        <v>8.7096774193548399</v>
      </c>
      <c r="F6" s="1">
        <f t="shared" si="1"/>
        <v>91.290322580645153</v>
      </c>
    </row>
    <row r="7" spans="1:6" x14ac:dyDescent="0.2">
      <c r="A7" t="s">
        <v>11</v>
      </c>
      <c r="B7">
        <v>4.75</v>
      </c>
      <c r="C7">
        <v>6</v>
      </c>
      <c r="D7" s="1">
        <f t="shared" si="0"/>
        <v>1.935483870967742</v>
      </c>
      <c r="E7" s="1">
        <f>IF(D7="","",SUM($D$2:D7))</f>
        <v>10.645161290322582</v>
      </c>
      <c r="F7" s="1">
        <f t="shared" si="1"/>
        <v>89.354838709677423</v>
      </c>
    </row>
    <row r="8" spans="1:6" x14ac:dyDescent="0.2">
      <c r="A8" t="s">
        <v>12</v>
      </c>
      <c r="B8">
        <v>2.38</v>
      </c>
      <c r="C8">
        <v>21</v>
      </c>
      <c r="D8" s="1">
        <f t="shared" si="0"/>
        <v>6.7741935483870979</v>
      </c>
      <c r="E8" s="1">
        <f>IF(D8="","",SUM($D$2:D8))</f>
        <v>17.41935483870968</v>
      </c>
      <c r="F8" s="1">
        <f t="shared" si="1"/>
        <v>82.58064516129032</v>
      </c>
    </row>
    <row r="9" spans="1:6" x14ac:dyDescent="0.2">
      <c r="A9" t="s">
        <v>13</v>
      </c>
      <c r="B9">
        <v>1.19</v>
      </c>
      <c r="C9">
        <v>40</v>
      </c>
      <c r="D9" s="1">
        <f t="shared" si="0"/>
        <v>12.903225806451612</v>
      </c>
      <c r="E9" s="1">
        <f>IF(D9="","",SUM($D$2:D9))</f>
        <v>30.322580645161292</v>
      </c>
      <c r="F9" s="1">
        <f t="shared" si="1"/>
        <v>69.677419354838705</v>
      </c>
    </row>
    <row r="10" spans="1:6" x14ac:dyDescent="0.2">
      <c r="A10" t="s">
        <v>14</v>
      </c>
      <c r="B10">
        <v>0.6</v>
      </c>
      <c r="C10">
        <v>59</v>
      </c>
      <c r="D10" s="1">
        <f t="shared" si="0"/>
        <v>19.032258064516128</v>
      </c>
      <c r="E10" s="1">
        <f>IF(D10="","",SUM($D$2:D10))</f>
        <v>49.354838709677423</v>
      </c>
      <c r="F10" s="1">
        <f t="shared" si="1"/>
        <v>50.645161290322577</v>
      </c>
    </row>
    <row r="11" spans="1:6" x14ac:dyDescent="0.2">
      <c r="A11" t="s">
        <v>15</v>
      </c>
      <c r="B11">
        <v>0.3</v>
      </c>
      <c r="C11">
        <v>80</v>
      </c>
      <c r="D11" s="1">
        <f t="shared" si="0"/>
        <v>25.806451612903224</v>
      </c>
      <c r="E11" s="1">
        <f>IF(D11="","",SUM($D$2:D11))</f>
        <v>75.161290322580641</v>
      </c>
      <c r="F11" s="1">
        <f t="shared" si="1"/>
        <v>24.838709677419359</v>
      </c>
    </row>
    <row r="12" spans="1:6" x14ac:dyDescent="0.2">
      <c r="A12" t="s">
        <v>16</v>
      </c>
      <c r="B12">
        <v>0.15</v>
      </c>
      <c r="C12">
        <v>53</v>
      </c>
      <c r="D12" s="1">
        <f t="shared" si="0"/>
        <v>17.096774193548388</v>
      </c>
      <c r="E12" s="1">
        <f>IF(D12="","",SUM($D$2:D12))</f>
        <v>92.258064516129025</v>
      </c>
      <c r="F12" s="1">
        <f t="shared" si="1"/>
        <v>7.7419354838709751</v>
      </c>
    </row>
    <row r="13" spans="1:6" x14ac:dyDescent="0.2">
      <c r="A13" t="s">
        <v>17</v>
      </c>
      <c r="B13">
        <v>7.4999999999999997E-2</v>
      </c>
      <c r="C13">
        <v>21</v>
      </c>
      <c r="D13" s="1">
        <f t="shared" si="0"/>
        <v>6.7741935483870979</v>
      </c>
      <c r="E13" s="1">
        <f>IF(D13="","",SUM($D$2:D13))</f>
        <v>99.032258064516128</v>
      </c>
      <c r="F13" s="1">
        <f t="shared" si="1"/>
        <v>0.96774193548387188</v>
      </c>
    </row>
    <row r="14" spans="1:6" x14ac:dyDescent="0.2">
      <c r="A14" t="s">
        <v>18</v>
      </c>
      <c r="C14">
        <v>3</v>
      </c>
      <c r="D14" s="1">
        <f t="shared" si="0"/>
        <v>0.967741935483871</v>
      </c>
      <c r="E14" s="1">
        <f>IF(D14="","",SUM($D$2:D14))</f>
        <v>100</v>
      </c>
      <c r="F14" s="1">
        <f t="shared" si="1"/>
        <v>0</v>
      </c>
    </row>
    <row r="16" spans="1:6" x14ac:dyDescent="0.2">
      <c r="B16" t="s">
        <v>19</v>
      </c>
      <c r="C16">
        <f>SUM(C2:C14)</f>
        <v>310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Alam</dc:creator>
  <cp:lastModifiedBy>Salman Alam</cp:lastModifiedBy>
  <dcterms:created xsi:type="dcterms:W3CDTF">2026-02-28T15:23:08Z</dcterms:created>
  <dcterms:modified xsi:type="dcterms:W3CDTF">2026-02-28T17:35:28Z</dcterms:modified>
</cp:coreProperties>
</file>